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6\Documents\"/>
    </mc:Choice>
  </mc:AlternateContent>
  <xr:revisionPtr revIDLastSave="0" documentId="13_ncr:1_{5938BA46-C672-4A98-904C-3F1F3C54DF35}" xr6:coauthVersionLast="47" xr6:coauthVersionMax="47" xr10:uidLastSave="{00000000-0000-0000-0000-000000000000}"/>
  <bookViews>
    <workbookView xWindow="-120" yWindow="-120" windowWidth="29040" windowHeight="15720" activeTab="2" xr2:uid="{0ACD0923-F4CE-4E3F-BBCC-161A6AC03795}"/>
  </bookViews>
  <sheets>
    <sheet name="Categoria" sheetId="1" r:id="rId1"/>
    <sheet name="Producto" sheetId="2" r:id="rId2"/>
    <sheet name="Venta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6" i="3" l="1"/>
  <c r="E6" i="3" s="1"/>
  <c r="D7" i="3"/>
  <c r="E7" i="3" s="1"/>
  <c r="D8" i="3"/>
  <c r="E8" i="3" s="1"/>
  <c r="E18" i="3"/>
  <c r="E17" i="3"/>
  <c r="B7" i="3"/>
  <c r="B8" i="3"/>
  <c r="B6" i="3"/>
</calcChain>
</file>

<file path=xl/sharedStrings.xml><?xml version="1.0" encoding="utf-8"?>
<sst xmlns="http://schemas.openxmlformats.org/spreadsheetml/2006/main" count="52" uniqueCount="43">
  <si>
    <t xml:space="preserve">CODIGO </t>
  </si>
  <si>
    <t xml:space="preserve">NOMBRE </t>
  </si>
  <si>
    <t xml:space="preserve">DESCRIPCION </t>
  </si>
  <si>
    <t>039_ca</t>
  </si>
  <si>
    <t>CODIGO</t>
  </si>
  <si>
    <t>DESCRIPCION</t>
  </si>
  <si>
    <t xml:space="preserve">VALOR-UNITARIO </t>
  </si>
  <si>
    <t xml:space="preserve">CATEGORIA </t>
  </si>
  <si>
    <t>PROM.C</t>
  </si>
  <si>
    <t>PROM.T</t>
  </si>
  <si>
    <t>PROM.A</t>
  </si>
  <si>
    <t>Carro</t>
  </si>
  <si>
    <t>Moto</t>
  </si>
  <si>
    <t>Bicicleta</t>
  </si>
  <si>
    <t>azul</t>
  </si>
  <si>
    <t>morado</t>
  </si>
  <si>
    <t>1,000,000</t>
  </si>
  <si>
    <t>2,000,000</t>
  </si>
  <si>
    <t>038_mo</t>
  </si>
  <si>
    <t>088_bi</t>
  </si>
  <si>
    <t>3,000,000</t>
  </si>
  <si>
    <t>Factura N°:</t>
  </si>
  <si>
    <t>Cliente:</t>
  </si>
  <si>
    <t>Dirección:</t>
  </si>
  <si>
    <t>000001</t>
  </si>
  <si>
    <t>Nombre del Cliente</t>
  </si>
  <si>
    <t>Dirección del Cliente</t>
  </si>
  <si>
    <t>Fecha:</t>
  </si>
  <si>
    <t>Identificación:</t>
  </si>
  <si>
    <t>Teléfono:</t>
  </si>
  <si>
    <t>Código</t>
  </si>
  <si>
    <t>Descripción</t>
  </si>
  <si>
    <t>Cantidad</t>
  </si>
  <si>
    <t>Valor Unitario</t>
  </si>
  <si>
    <t>Subtotal</t>
  </si>
  <si>
    <t>Subtotal:</t>
  </si>
  <si>
    <t>IVA (10%):</t>
  </si>
  <si>
    <t>Total:</t>
  </si>
  <si>
    <t xml:space="preserve">Bicicleta </t>
  </si>
  <si>
    <t>Rojo, Llantas</t>
  </si>
  <si>
    <t>Rapido, negra</t>
  </si>
  <si>
    <t xml:space="preserve">Ejercicio </t>
  </si>
  <si>
    <t>rojo,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</si>
</sst>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</xdr:row>
      <xdr:rowOff>0</xdr:rowOff>
    </xdr:from>
    <xdr:to>
      <xdr:col>7</xdr:col>
      <xdr:colOff>371849</xdr:colOff>
      <xdr:row>24</xdr:row>
      <xdr:rowOff>85817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05A0E2-46B2-5320-9371-59BD5FC40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4775" y="4000500"/>
          <a:ext cx="2676899" cy="657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C9A8-7E95-4ACF-832E-EFAA052EF147}">
  <dimension ref="A1:C4"/>
  <sheetViews>
    <sheetView workbookViewId="0">
      <selection activeCell="C6" sqref="C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57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11</v>
      </c>
      <c r="C2" s="1" t="s">
        <v>39</v>
      </c>
    </row>
    <row r="3" spans="1:3" x14ac:dyDescent="0.25">
      <c r="A3" s="3" t="s">
        <v>18</v>
      </c>
      <c r="B3" s="1" t="s">
        <v>12</v>
      </c>
      <c r="C3" s="1" t="s">
        <v>40</v>
      </c>
    </row>
    <row r="4" spans="1:3" x14ac:dyDescent="0.25">
      <c r="A4" s="3" t="s">
        <v>19</v>
      </c>
      <c r="B4" s="1" t="s">
        <v>38</v>
      </c>
      <c r="C4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3085-6414-4310-B7AD-6437AFF09221}">
  <dimension ref="A1:E4"/>
  <sheetViews>
    <sheetView workbookViewId="0">
      <selection activeCell="C2" sqref="C2"/>
    </sheetView>
  </sheetViews>
  <sheetFormatPr baseColWidth="10" defaultRowHeight="15" x14ac:dyDescent="0.25"/>
  <cols>
    <col min="3" max="3" width="13.42578125" customWidth="1"/>
    <col min="4" max="4" width="22.85546875" customWidth="1"/>
  </cols>
  <sheetData>
    <row r="1" spans="1:5" x14ac:dyDescent="0.25">
      <c r="A1" t="s">
        <v>4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 t="s">
        <v>8</v>
      </c>
      <c r="B2" t="s">
        <v>11</v>
      </c>
      <c r="C2" t="s">
        <v>42</v>
      </c>
      <c r="D2" t="s">
        <v>20</v>
      </c>
      <c r="E2" s="3" t="s">
        <v>3</v>
      </c>
    </row>
    <row r="3" spans="1:5" x14ac:dyDescent="0.25">
      <c r="A3" t="s">
        <v>9</v>
      </c>
      <c r="B3" t="s">
        <v>12</v>
      </c>
      <c r="C3" t="s">
        <v>14</v>
      </c>
      <c r="D3" t="s">
        <v>17</v>
      </c>
      <c r="E3" s="3" t="s">
        <v>18</v>
      </c>
    </row>
    <row r="4" spans="1:5" x14ac:dyDescent="0.25">
      <c r="A4" t="s">
        <v>10</v>
      </c>
      <c r="B4" t="s">
        <v>13</v>
      </c>
      <c r="C4" t="s">
        <v>15</v>
      </c>
      <c r="D4" t="s">
        <v>16</v>
      </c>
      <c r="E4" s="3" t="s">
        <v>19</v>
      </c>
    </row>
  </sheetData>
  <dataConsolidate>
    <dataRefs count="1">
      <dataRef ref="A2" sheet="Producto"/>
    </dataRefs>
  </dataConsolidate>
  <dataValidations count="1">
    <dataValidation type="list" allowBlank="1" showInputMessage="1" showErrorMessage="1" sqref="E1:E1048576" xr:uid="{469C74E4-8237-43A3-833D-B4696EA85C0A}">
      <formula1>$E:$E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110A-173D-473D-96C3-D4CB40A9CAA7}">
  <dimension ref="A1:E18"/>
  <sheetViews>
    <sheetView tabSelected="1" workbookViewId="0">
      <selection activeCell="G10" sqref="G10"/>
    </sheetView>
  </sheetViews>
  <sheetFormatPr baseColWidth="10" defaultRowHeight="15" x14ac:dyDescent="0.25"/>
  <cols>
    <col min="2" max="2" width="22.140625" customWidth="1"/>
    <col min="4" max="4" width="13.7109375" customWidth="1"/>
    <col min="5" max="5" width="11.7109375" bestFit="1" customWidth="1"/>
  </cols>
  <sheetData>
    <row r="1" spans="1:5" x14ac:dyDescent="0.25">
      <c r="A1" t="s">
        <v>21</v>
      </c>
      <c r="B1" t="s">
        <v>24</v>
      </c>
      <c r="D1" t="s">
        <v>27</v>
      </c>
      <c r="E1" s="4">
        <v>45719</v>
      </c>
    </row>
    <row r="2" spans="1:5" x14ac:dyDescent="0.25">
      <c r="A2" t="s">
        <v>22</v>
      </c>
      <c r="B2" t="s">
        <v>25</v>
      </c>
      <c r="D2" t="s">
        <v>28</v>
      </c>
      <c r="E2">
        <v>1075217829</v>
      </c>
    </row>
    <row r="3" spans="1:5" x14ac:dyDescent="0.25">
      <c r="A3" t="s">
        <v>23</v>
      </c>
      <c r="B3" t="s">
        <v>26</v>
      </c>
      <c r="D3" t="s">
        <v>29</v>
      </c>
      <c r="E3">
        <v>3165410007</v>
      </c>
    </row>
    <row r="5" spans="1:5" x14ac:dyDescent="0.25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</row>
    <row r="6" spans="1:5" x14ac:dyDescent="0.25">
      <c r="A6" s="1" t="s">
        <v>8</v>
      </c>
      <c r="B6" s="1" t="str">
        <f>VLOOKUP(A6,Producto!$A$2:$E$4,3,FALSE)</f>
        <v>rojo, :)</v>
      </c>
      <c r="C6" s="1">
        <v>2</v>
      </c>
      <c r="D6" s="7" t="str">
        <f>IF(A6="","",VLOOKUP(A6,Producto!$A$2:$E$4,4,FALSE))</f>
        <v>3,000,000</v>
      </c>
      <c r="E6" s="1">
        <f>IFERROR(C6*D6,0)</f>
        <v>0</v>
      </c>
    </row>
    <row r="7" spans="1:5" x14ac:dyDescent="0.25">
      <c r="A7" s="1" t="s">
        <v>9</v>
      </c>
      <c r="B7" s="1" t="str">
        <f>VLOOKUP(A7,Producto!$A$2:$E$4,3,FALSE)</f>
        <v>azul</v>
      </c>
      <c r="C7" s="1">
        <v>2</v>
      </c>
      <c r="D7" s="7" t="str">
        <f>IF(A7="","",VLOOKUP(A7,Producto!$A$2:$E$4,4,FALSE))</f>
        <v>2,000,000</v>
      </c>
      <c r="E7" s="1">
        <f t="shared" ref="E7:E8" si="0">IFERROR(C7*D7,0)</f>
        <v>0</v>
      </c>
    </row>
    <row r="8" spans="1:5" x14ac:dyDescent="0.25">
      <c r="A8" s="1" t="s">
        <v>10</v>
      </c>
      <c r="B8" s="1" t="str">
        <f>VLOOKUP(A8,Producto!$A$2:$E$4,3,FALSE)</f>
        <v>morado</v>
      </c>
      <c r="C8" s="1">
        <v>4</v>
      </c>
      <c r="D8" s="7" t="str">
        <f>IF(A8="","",VLOOKUP(A8,Producto!$A$2:$E$4,4,FALSE))</f>
        <v>1,000,000</v>
      </c>
      <c r="E8" s="1">
        <f t="shared" si="0"/>
        <v>0</v>
      </c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D16" s="6" t="s">
        <v>35</v>
      </c>
      <c r="E16">
        <f>SUM(E6:E14)</f>
        <v>0</v>
      </c>
    </row>
    <row r="17" spans="4:5" x14ac:dyDescent="0.25">
      <c r="D17" s="6" t="s">
        <v>36</v>
      </c>
      <c r="E17">
        <f>F16*10%</f>
        <v>0</v>
      </c>
    </row>
    <row r="18" spans="4:5" x14ac:dyDescent="0.25">
      <c r="D18" s="6" t="s">
        <v>37</v>
      </c>
      <c r="E18">
        <f>F16+F17</f>
        <v>0</v>
      </c>
    </row>
  </sheetData>
  <dataConsolidate topLabels="1">
    <dataRefs count="3">
      <dataRef ref="A1:A4" sheet="Producto"/>
      <dataRef ref="A5" sheet="Venta "/>
      <dataRef ref="A5:A8" sheet="Venta "/>
    </dataRefs>
  </dataConsolidate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46C6E5-0822-4C3D-9F18-9E6C48089EFD}">
          <x14:formula1>
            <xm:f>Producto!$A$1:$A$4</xm:f>
          </x14:formula1>
          <xm:sqref>A6:A8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Categoria</vt:lpstr>
      <vt:lpstr>Producto</vt:lpstr>
      <vt:lpstr>Venta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Carolita Roa</dc:creator>
  <cp:lastModifiedBy>Carolita Roa</cp:lastModifiedBy>
  <dcterms:created xsi:type="dcterms:W3CDTF">2025-03-03T18:22:20Z</dcterms:created>
  <dcterms:modified xsi:type="dcterms:W3CDTF">2025-03-03T22:14:38Z</dcterms:modified>
</cp:coreProperties>
</file>